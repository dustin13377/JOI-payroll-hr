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uinaldo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<sst xmlns="http://schemas.openxmlformats.org/spreadsheetml/2006/main" count="143" uniqueCount="100">
  <si>
    <t xml:space="preserve">AGUINALDO 2026 — Lawyer Sheet vs. App Data</t>
  </si>
  <si>
    <t xml:space="preserve">Method (both): 15 días × (días trabajados 2026 ÷ 365) × sueldo diario. Calc date 12/31/2026. Art. 87 LFT.</t>
  </si>
  <si>
    <t xml:space="preserve">Hire dates and days worked matched the app 40/40. The only differences are in daily salary (highlighted).</t>
  </si>
  <si>
    <t xml:space="preserve">No.</t>
  </si>
  <si>
    <t xml:space="preserve">Employee</t>
  </si>
  <si>
    <t xml:space="preserve">Hire Date</t>
  </si>
  <si>
    <t xml:space="preserve">Days
Worked</t>
  </si>
  <si>
    <t xml:space="preserve">Aguinaldo
Days</t>
  </si>
  <si>
    <t xml:space="preserve">Lawyer
Daily $</t>
  </si>
  <si>
    <t xml:space="preserve">App
Daily $</t>
  </si>
  <si>
    <t xml:space="preserve">Salary
Match?</t>
  </si>
  <si>
    <t xml:space="preserve">Lawyer
Aguinaldo</t>
  </si>
  <si>
    <t xml:space="preserve">App-Data
Aguinaldo</t>
  </si>
  <si>
    <t xml:space="preserve">Difference
(Lawyer−App)</t>
  </si>
  <si>
    <t xml:space="preserve">Alvarez Flores Jose Antonio</t>
  </si>
  <si>
    <t xml:space="preserve">2026-03-27</t>
  </si>
  <si>
    <t xml:space="preserve">NO</t>
  </si>
  <si>
    <t xml:space="preserve">Araujo Andrade Alejandro</t>
  </si>
  <si>
    <t xml:space="preserve">2026-04-20</t>
  </si>
  <si>
    <t xml:space="preserve">Arechiga Flores Adrian</t>
  </si>
  <si>
    <t xml:space="preserve">2025-11-03</t>
  </si>
  <si>
    <t xml:space="preserve">Ascencio Rivera Francisco De Jesus</t>
  </si>
  <si>
    <t xml:space="preserve">2026-01-12</t>
  </si>
  <si>
    <t xml:space="preserve">Bermudez Ham Jose Carlos</t>
  </si>
  <si>
    <t xml:space="preserve">2025-05-12</t>
  </si>
  <si>
    <t xml:space="preserve">yes</t>
  </si>
  <si>
    <t xml:space="preserve">Castellanos Ascencio Lucia Madeleine</t>
  </si>
  <si>
    <t xml:space="preserve">2026-03-23</t>
  </si>
  <si>
    <t xml:space="preserve">Castillo Garcia Adrian</t>
  </si>
  <si>
    <t xml:space="preserve">2025-11-24</t>
  </si>
  <si>
    <t xml:space="preserve">Cordova Castañeda Sebastian</t>
  </si>
  <si>
    <t xml:space="preserve">2024-12-02</t>
  </si>
  <si>
    <t xml:space="preserve">Corrales Gonzalez Sofia</t>
  </si>
  <si>
    <t xml:space="preserve">2025-11-10</t>
  </si>
  <si>
    <t xml:space="preserve">Cuesta Mendoza Sthephe Isaac</t>
  </si>
  <si>
    <t xml:space="preserve">2026-08-10</t>
  </si>
  <si>
    <t xml:space="preserve">De la Barrera Soberon Enrique Alfonso</t>
  </si>
  <si>
    <t xml:space="preserve">2026-06-29</t>
  </si>
  <si>
    <t xml:space="preserve">Espinosa Ladron De Guevara Glenn</t>
  </si>
  <si>
    <t xml:space="preserve">2025-04-28</t>
  </si>
  <si>
    <t xml:space="preserve">Farfan Navarro Carlos Alberto</t>
  </si>
  <si>
    <t xml:space="preserve">2025-07-14</t>
  </si>
  <si>
    <t xml:space="preserve">Garcia Rincon Juan Luis</t>
  </si>
  <si>
    <t xml:space="preserve">2026-05-11</t>
  </si>
  <si>
    <t xml:space="preserve">Gomez Poblano Mauricio</t>
  </si>
  <si>
    <t xml:space="preserve">Gonzalez Moran Ubaldo</t>
  </si>
  <si>
    <t xml:space="preserve">2026-01-05</t>
  </si>
  <si>
    <t xml:space="preserve">Gonzalez Torres Daniel Adrian</t>
  </si>
  <si>
    <t xml:space="preserve">2026-03-17</t>
  </si>
  <si>
    <t xml:space="preserve">Guillen Garcia Alejandro</t>
  </si>
  <si>
    <t xml:space="preserve">Gutierrez Espinosa Fernando</t>
  </si>
  <si>
    <t xml:space="preserve">2026-05-15</t>
  </si>
  <si>
    <t xml:space="preserve">Herkommer Farias Ivana</t>
  </si>
  <si>
    <t xml:space="preserve">2026-04-07</t>
  </si>
  <si>
    <t xml:space="preserve">Ibanez Sanchez Jorge Luis</t>
  </si>
  <si>
    <t xml:space="preserve">2024-11-18</t>
  </si>
  <si>
    <t xml:space="preserve">Juarez-Gallegos Lydia Noemi</t>
  </si>
  <si>
    <t xml:space="preserve">Lafrance Richecarde</t>
  </si>
  <si>
    <t xml:space="preserve">2026-04-24</t>
  </si>
  <si>
    <t xml:space="preserve">Landeros Marquez Alonso</t>
  </si>
  <si>
    <t xml:space="preserve">2025-04-01</t>
  </si>
  <si>
    <t xml:space="preserve">Landeros Marquez Diego</t>
  </si>
  <si>
    <t xml:space="preserve">2026-05-04</t>
  </si>
  <si>
    <t xml:space="preserve">Martinez Gonzalez Luis Angel</t>
  </si>
  <si>
    <t xml:space="preserve">2025-06-02</t>
  </si>
  <si>
    <t xml:space="preserve">Monroy Comparan Marisol Yareni</t>
  </si>
  <si>
    <t xml:space="preserve">2026-03-04</t>
  </si>
  <si>
    <t xml:space="preserve">Munoz Villalobos Sebastian</t>
  </si>
  <si>
    <t xml:space="preserve">2026-03-02</t>
  </si>
  <si>
    <t xml:space="preserve">Muñoz Caballero Francisco Javier</t>
  </si>
  <si>
    <t xml:space="preserve">Ordaz Galvez Deysi Esperanza</t>
  </si>
  <si>
    <t xml:space="preserve">2025-09-23</t>
  </si>
  <si>
    <t xml:space="preserve">Pedro Guijarro Carlos</t>
  </si>
  <si>
    <t xml:space="preserve">2024-04-22</t>
  </si>
  <si>
    <t xml:space="preserve">Perez Jimenez Mariana Guadalupe</t>
  </si>
  <si>
    <t xml:space="preserve">Renteria Gonzalez Jose Guadalupe</t>
  </si>
  <si>
    <t xml:space="preserve">2025-01-02</t>
  </si>
  <si>
    <t xml:space="preserve">Rodriguez Corral Abraham Emanuel</t>
  </si>
  <si>
    <t xml:space="preserve">2026-06-15</t>
  </si>
  <si>
    <t xml:space="preserve">app blank</t>
  </si>
  <si>
    <t xml:space="preserve">Rodriguez Muñiz Miguel Angel</t>
  </si>
  <si>
    <t xml:space="preserve">2026-07-27</t>
  </si>
  <si>
    <t xml:space="preserve">Sanchez Antillon Osbaldo José</t>
  </si>
  <si>
    <t xml:space="preserve">Sandoval Rojas Diomedes</t>
  </si>
  <si>
    <t xml:space="preserve">2023-01-01</t>
  </si>
  <si>
    <t xml:space="preserve">Soltero Cardenas Cesar Arnoldo</t>
  </si>
  <si>
    <t xml:space="preserve">2024-06-10</t>
  </si>
  <si>
    <t xml:space="preserve">Trujillo Guerrero Aldo</t>
  </si>
  <si>
    <t xml:space="preserve">2025-10-07</t>
  </si>
  <si>
    <t xml:space="preserve">Vazquez Magaña Armando</t>
  </si>
  <si>
    <t xml:space="preserve">2025-05-16</t>
  </si>
  <si>
    <t xml:space="preserve">TOTAL</t>
  </si>
  <si>
    <t xml:space="preserve">Notes</t>
  </si>
  <si>
    <t xml:space="preserve">• 40/40 hire dates and days-worked match the app exactly. Lawyer's proration math is correct.</t>
  </si>
  <si>
    <t xml:space="preserve">• The entire gap is daily salary: lawyer used ~$600–$833/day for most; app 'daily_salary' is $400 for most. Only 4 match (Bermudez, Glenn, Alonso Landeros, Renteria).</t>
  </si>
  <si>
    <t xml:space="preserve">• Fernando Gutierrez: lawyer $600 vs app $500.</t>
  </si>
  <si>
    <t xml:space="preserve">• App is MISSING a daily salary for Abraham Emanuel Rodriguez Corral (#34) — lawyer used $833.33. Needs to be entered in the app.</t>
  </si>
  <si>
    <t xml:space="preserve">• Diomedes Sandoval (#37, owner): blank in both — excluded.</t>
  </si>
  <si>
    <t xml:space="preserve">• Possible omission from lawyer sheet: Isaías Granados Velázquez (active, hired 2026-08-06). Oscar Cueto (hired 2026-08-04, on leave) — verify if he should be included.</t>
  </si>
  <si>
    <t xml:space="preserve">• Action for D: decide which daily salary is correct — the $400 in the app looks like a base/registered figure, while the lawyer used a higher real daily rate. Fix whichever source is wrong before paying.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</si>
</sst>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9C000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C7CE"/>
        <bgColor rgb="FFFCE4D6"/>
      </patternFill>
    </fill>
    <fill>
      <patternFill patternType="solid">
        <fgColor rgb="FFD9E1F2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8" min="8" style="0" width="9"/>
    <col collapsed="false" customWidth="true" hidden="false" outlineLevel="0" max="10" min="9" style="0" width="13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customFormat="false" ht="15" hidden="false" customHeight="false" outlineLevel="0" collapsed="false">
      <c r="A6" s="5" t="n">
        <v>1</v>
      </c>
      <c r="B6" s="5" t="s">
        <v>14</v>
      </c>
      <c r="C6" s="6" t="s">
        <v>15</v>
      </c>
      <c r="D6" s="6" t="n">
        <v>280</v>
      </c>
      <c r="E6" s="7" t="n">
        <f aca="false">D6/365*15</f>
        <v>11.5068493150685</v>
      </c>
      <c r="F6" s="8" t="n">
        <v>600</v>
      </c>
      <c r="G6" s="8" t="n">
        <v>400</v>
      </c>
      <c r="H6" s="9" t="s">
        <v>16</v>
      </c>
      <c r="I6" s="10" t="n">
        <f aca="false">IF(F6="","",F6*E6)</f>
        <v>6904.1095890411</v>
      </c>
      <c r="J6" s="10" t="n">
        <f aca="false">IF(G6="","",G6*E6)</f>
        <v>4602.7397260274</v>
      </c>
      <c r="K6" s="11" t="n">
        <f aca="false">IF(OR(F6="",G6=""),"",I6-J6)</f>
        <v>2301.3698630137</v>
      </c>
    </row>
    <row r="7" customFormat="false" ht="15" hidden="false" customHeight="false" outlineLevel="0" collapsed="false">
      <c r="A7" s="5" t="n">
        <v>2</v>
      </c>
      <c r="B7" s="5" t="s">
        <v>17</v>
      </c>
      <c r="C7" s="6" t="s">
        <v>18</v>
      </c>
      <c r="D7" s="6" t="n">
        <v>256</v>
      </c>
      <c r="E7" s="7" t="n">
        <f aca="false">D7/365*15</f>
        <v>10.5205479452055</v>
      </c>
      <c r="F7" s="8" t="n">
        <v>600</v>
      </c>
      <c r="G7" s="8" t="n">
        <v>400</v>
      </c>
      <c r="H7" s="9" t="s">
        <v>16</v>
      </c>
      <c r="I7" s="10" t="n">
        <f aca="false">IF(F7="","",F7*E7)</f>
        <v>6312.32876712329</v>
      </c>
      <c r="J7" s="10" t="n">
        <f aca="false">IF(G7="","",G7*E7)</f>
        <v>4208.21917808219</v>
      </c>
      <c r="K7" s="11" t="n">
        <f aca="false">IF(OR(F7="",G7=""),"",I7-J7)</f>
        <v>2104.1095890411</v>
      </c>
    </row>
    <row r="8" customFormat="false" ht="15" hidden="false" customHeight="false" outlineLevel="0" collapsed="false">
      <c r="A8" s="5" t="n">
        <v>3</v>
      </c>
      <c r="B8" s="5" t="s">
        <v>19</v>
      </c>
      <c r="C8" s="6" t="s">
        <v>20</v>
      </c>
      <c r="D8" s="6" t="n">
        <v>365</v>
      </c>
      <c r="E8" s="7" t="n">
        <f aca="false">D8/365*15</f>
        <v>15</v>
      </c>
      <c r="F8" s="8" t="n">
        <v>600</v>
      </c>
      <c r="G8" s="8" t="n">
        <v>400</v>
      </c>
      <c r="H8" s="9" t="s">
        <v>16</v>
      </c>
      <c r="I8" s="10" t="n">
        <f aca="false">IF(F8="","",F8*E8)</f>
        <v>9000</v>
      </c>
      <c r="J8" s="10" t="n">
        <f aca="false">IF(G8="","",G8*E8)</f>
        <v>6000</v>
      </c>
      <c r="K8" s="11" t="n">
        <f aca="false">IF(OR(F8="",G8=""),"",I8-J8)</f>
        <v>3000</v>
      </c>
    </row>
    <row r="9" customFormat="false" ht="15" hidden="false" customHeight="false" outlineLevel="0" collapsed="false">
      <c r="A9" s="5" t="n">
        <v>4</v>
      </c>
      <c r="B9" s="5" t="s">
        <v>21</v>
      </c>
      <c r="C9" s="6" t="s">
        <v>22</v>
      </c>
      <c r="D9" s="6" t="n">
        <v>354</v>
      </c>
      <c r="E9" s="7" t="n">
        <f aca="false">D9/365*15</f>
        <v>14.5479452054795</v>
      </c>
      <c r="F9" s="8" t="n">
        <v>666.66</v>
      </c>
      <c r="G9" s="8" t="n">
        <v>400</v>
      </c>
      <c r="H9" s="9" t="s">
        <v>16</v>
      </c>
      <c r="I9" s="10" t="n">
        <f aca="false">IF(F9="","",F9*E9)</f>
        <v>9698.53315068493</v>
      </c>
      <c r="J9" s="10" t="n">
        <f aca="false">IF(G9="","",G9*E9)</f>
        <v>5819.17808219178</v>
      </c>
      <c r="K9" s="11" t="n">
        <f aca="false">IF(OR(F9="",G9=""),"",I9-J9)</f>
        <v>3879.35506849315</v>
      </c>
    </row>
    <row r="10" customFormat="false" ht="15" hidden="false" customHeight="false" outlineLevel="0" collapsed="false">
      <c r="A10" s="5" t="n">
        <v>5</v>
      </c>
      <c r="B10" s="5" t="s">
        <v>23</v>
      </c>
      <c r="C10" s="6" t="s">
        <v>24</v>
      </c>
      <c r="D10" s="6" t="n">
        <v>365</v>
      </c>
      <c r="E10" s="7" t="n">
        <f aca="false">D10/365*15</f>
        <v>15</v>
      </c>
      <c r="F10" s="12" t="n">
        <v>600</v>
      </c>
      <c r="G10" s="12" t="n">
        <v>600</v>
      </c>
      <c r="H10" s="6" t="s">
        <v>25</v>
      </c>
      <c r="I10" s="10" t="n">
        <f aca="false">IF(F10="","",F10*E10)</f>
        <v>9000</v>
      </c>
      <c r="J10" s="10" t="n">
        <f aca="false">IF(G10="","",G10*E10)</f>
        <v>9000</v>
      </c>
      <c r="K10" s="10" t="n">
        <f aca="false">IF(OR(F10="",G10=""),"",I10-J10)</f>
        <v>0</v>
      </c>
    </row>
    <row r="11" customFormat="false" ht="15" hidden="false" customHeight="false" outlineLevel="0" collapsed="false">
      <c r="A11" s="5" t="n">
        <v>6</v>
      </c>
      <c r="B11" s="5" t="s">
        <v>26</v>
      </c>
      <c r="C11" s="6" t="s">
        <v>27</v>
      </c>
      <c r="D11" s="6" t="n">
        <v>284</v>
      </c>
      <c r="E11" s="7" t="n">
        <f aca="false">D11/365*15</f>
        <v>11.6712328767123</v>
      </c>
      <c r="F11" s="8" t="n">
        <v>666.66</v>
      </c>
      <c r="G11" s="8" t="n">
        <v>400</v>
      </c>
      <c r="H11" s="9" t="s">
        <v>16</v>
      </c>
      <c r="I11" s="10" t="n">
        <f aca="false">IF(F11="","",F11*E11)</f>
        <v>7780.74410958904</v>
      </c>
      <c r="J11" s="10" t="n">
        <f aca="false">IF(G11="","",G11*E11)</f>
        <v>4668.49315068493</v>
      </c>
      <c r="K11" s="11" t="n">
        <f aca="false">IF(OR(F11="",G11=""),"",I11-J11)</f>
        <v>3112.25095890411</v>
      </c>
    </row>
    <row r="12" customFormat="false" ht="15" hidden="false" customHeight="false" outlineLevel="0" collapsed="false">
      <c r="A12" s="5" t="n">
        <v>7</v>
      </c>
      <c r="B12" s="5" t="s">
        <v>28</v>
      </c>
      <c r="C12" s="6" t="s">
        <v>29</v>
      </c>
      <c r="D12" s="6" t="n">
        <v>365</v>
      </c>
      <c r="E12" s="7" t="n">
        <f aca="false">D12/365*15</f>
        <v>15</v>
      </c>
      <c r="F12" s="8" t="n">
        <v>600</v>
      </c>
      <c r="G12" s="8" t="n">
        <v>400</v>
      </c>
      <c r="H12" s="9" t="s">
        <v>16</v>
      </c>
      <c r="I12" s="10" t="n">
        <f aca="false">IF(F12="","",F12*E12)</f>
        <v>9000</v>
      </c>
      <c r="J12" s="10" t="n">
        <f aca="false">IF(G12="","",G12*E12)</f>
        <v>6000</v>
      </c>
      <c r="K12" s="11" t="n">
        <f aca="false">IF(OR(F12="",G12=""),"",I12-J12)</f>
        <v>3000</v>
      </c>
    </row>
    <row r="13" customFormat="false" ht="15" hidden="false" customHeight="false" outlineLevel="0" collapsed="false">
      <c r="A13" s="5" t="n">
        <v>8</v>
      </c>
      <c r="B13" s="5" t="s">
        <v>30</v>
      </c>
      <c r="C13" s="6" t="s">
        <v>31</v>
      </c>
      <c r="D13" s="6" t="n">
        <v>365</v>
      </c>
      <c r="E13" s="7" t="n">
        <f aca="false">D13/365*15</f>
        <v>15</v>
      </c>
      <c r="F13" s="8" t="n">
        <v>600</v>
      </c>
      <c r="G13" s="8" t="n">
        <v>400</v>
      </c>
      <c r="H13" s="9" t="s">
        <v>16</v>
      </c>
      <c r="I13" s="10" t="n">
        <f aca="false">IF(F13="","",F13*E13)</f>
        <v>9000</v>
      </c>
      <c r="J13" s="10" t="n">
        <f aca="false">IF(G13="","",G13*E13)</f>
        <v>6000</v>
      </c>
      <c r="K13" s="11" t="n">
        <f aca="false">IF(OR(F13="",G13=""),"",I13-J13)</f>
        <v>3000</v>
      </c>
    </row>
    <row r="14" customFormat="false" ht="15" hidden="false" customHeight="false" outlineLevel="0" collapsed="false">
      <c r="A14" s="5" t="n">
        <v>9</v>
      </c>
      <c r="B14" s="5" t="s">
        <v>32</v>
      </c>
      <c r="C14" s="6" t="s">
        <v>33</v>
      </c>
      <c r="D14" s="6" t="n">
        <v>365</v>
      </c>
      <c r="E14" s="7" t="n">
        <f aca="false">D14/365*15</f>
        <v>15</v>
      </c>
      <c r="F14" s="8" t="n">
        <v>600</v>
      </c>
      <c r="G14" s="8" t="n">
        <v>400</v>
      </c>
      <c r="H14" s="9" t="s">
        <v>16</v>
      </c>
      <c r="I14" s="10" t="n">
        <f aca="false">IF(F14="","",F14*E14)</f>
        <v>9000</v>
      </c>
      <c r="J14" s="10" t="n">
        <f aca="false">IF(G14="","",G14*E14)</f>
        <v>6000</v>
      </c>
      <c r="K14" s="11" t="n">
        <f aca="false">IF(OR(F14="",G14=""),"",I14-J14)</f>
        <v>3000</v>
      </c>
    </row>
    <row r="15" customFormat="false" ht="15" hidden="false" customHeight="false" outlineLevel="0" collapsed="false">
      <c r="A15" s="5" t="n">
        <v>10</v>
      </c>
      <c r="B15" s="5" t="s">
        <v>34</v>
      </c>
      <c r="C15" s="6" t="s">
        <v>35</v>
      </c>
      <c r="D15" s="6" t="n">
        <v>144</v>
      </c>
      <c r="E15" s="7" t="n">
        <f aca="false">D15/365*15</f>
        <v>5.91780821917808</v>
      </c>
      <c r="F15" s="8" t="n">
        <v>600</v>
      </c>
      <c r="G15" s="8" t="n">
        <v>400</v>
      </c>
      <c r="H15" s="9" t="s">
        <v>16</v>
      </c>
      <c r="I15" s="10" t="n">
        <f aca="false">IF(F15="","",F15*E15)</f>
        <v>3550.68493150685</v>
      </c>
      <c r="J15" s="10" t="n">
        <f aca="false">IF(G15="","",G15*E15)</f>
        <v>2367.12328767123</v>
      </c>
      <c r="K15" s="11" t="n">
        <f aca="false">IF(OR(F15="",G15=""),"",I15-J15)</f>
        <v>1183.56164383562</v>
      </c>
    </row>
    <row r="16" customFormat="false" ht="15" hidden="false" customHeight="false" outlineLevel="0" collapsed="false">
      <c r="A16" s="5" t="n">
        <v>11</v>
      </c>
      <c r="B16" s="5" t="s">
        <v>36</v>
      </c>
      <c r="C16" s="6" t="s">
        <v>37</v>
      </c>
      <c r="D16" s="6" t="n">
        <v>186</v>
      </c>
      <c r="E16" s="7" t="n">
        <f aca="false">D16/365*15</f>
        <v>7.64383561643836</v>
      </c>
      <c r="F16" s="8" t="n">
        <v>600</v>
      </c>
      <c r="G16" s="8" t="n">
        <v>400</v>
      </c>
      <c r="H16" s="9" t="s">
        <v>16</v>
      </c>
      <c r="I16" s="10" t="n">
        <f aca="false">IF(F16="","",F16*E16)</f>
        <v>4586.30136986301</v>
      </c>
      <c r="J16" s="10" t="n">
        <f aca="false">IF(G16="","",G16*E16)</f>
        <v>3057.53424657534</v>
      </c>
      <c r="K16" s="11" t="n">
        <f aca="false">IF(OR(F16="",G16=""),"",I16-J16)</f>
        <v>1528.76712328767</v>
      </c>
    </row>
    <row r="17" customFormat="false" ht="15" hidden="false" customHeight="false" outlineLevel="0" collapsed="false">
      <c r="A17" s="5" t="n">
        <v>12</v>
      </c>
      <c r="B17" s="5" t="s">
        <v>38</v>
      </c>
      <c r="C17" s="6" t="s">
        <v>39</v>
      </c>
      <c r="D17" s="6" t="n">
        <v>365</v>
      </c>
      <c r="E17" s="7" t="n">
        <f aca="false">D17/365*15</f>
        <v>15</v>
      </c>
      <c r="F17" s="12" t="n">
        <v>600</v>
      </c>
      <c r="G17" s="12" t="n">
        <v>600</v>
      </c>
      <c r="H17" s="6" t="s">
        <v>25</v>
      </c>
      <c r="I17" s="10" t="n">
        <f aca="false">IF(F17="","",F17*E17)</f>
        <v>9000</v>
      </c>
      <c r="J17" s="10" t="n">
        <f aca="false">IF(G17="","",G17*E17)</f>
        <v>9000</v>
      </c>
      <c r="K17" s="10" t="n">
        <f aca="false">IF(OR(F17="",G17=""),"",I17-J17)</f>
        <v>0</v>
      </c>
    </row>
    <row r="18" customFormat="false" ht="15" hidden="false" customHeight="false" outlineLevel="0" collapsed="false">
      <c r="A18" s="5" t="n">
        <v>13</v>
      </c>
      <c r="B18" s="5" t="s">
        <v>40</v>
      </c>
      <c r="C18" s="6" t="s">
        <v>41</v>
      </c>
      <c r="D18" s="6" t="n">
        <v>365</v>
      </c>
      <c r="E18" s="7" t="n">
        <f aca="false">D18/365*15</f>
        <v>15</v>
      </c>
      <c r="F18" s="8" t="n">
        <v>600</v>
      </c>
      <c r="G18" s="8" t="n">
        <v>400</v>
      </c>
      <c r="H18" s="9" t="s">
        <v>16</v>
      </c>
      <c r="I18" s="10" t="n">
        <f aca="false">IF(F18="","",F18*E18)</f>
        <v>9000</v>
      </c>
      <c r="J18" s="10" t="n">
        <f aca="false">IF(G18="","",G18*E18)</f>
        <v>6000</v>
      </c>
      <c r="K18" s="11" t="n">
        <f aca="false">IF(OR(F18="",G18=""),"",I18-J18)</f>
        <v>3000</v>
      </c>
    </row>
    <row r="19" customFormat="false" ht="15" hidden="false" customHeight="false" outlineLevel="0" collapsed="false">
      <c r="A19" s="5" t="n">
        <v>14</v>
      </c>
      <c r="B19" s="5" t="s">
        <v>42</v>
      </c>
      <c r="C19" s="6" t="s">
        <v>43</v>
      </c>
      <c r="D19" s="6" t="n">
        <v>235</v>
      </c>
      <c r="E19" s="7" t="n">
        <f aca="false">D19/365*15</f>
        <v>9.65753424657534</v>
      </c>
      <c r="F19" s="8" t="n">
        <v>600</v>
      </c>
      <c r="G19" s="8" t="n">
        <v>400</v>
      </c>
      <c r="H19" s="9" t="s">
        <v>16</v>
      </c>
      <c r="I19" s="10" t="n">
        <f aca="false">IF(F19="","",F19*E19)</f>
        <v>5794.52054794521</v>
      </c>
      <c r="J19" s="10" t="n">
        <f aca="false">IF(G19="","",G19*E19)</f>
        <v>3863.01369863014</v>
      </c>
      <c r="K19" s="11" t="n">
        <f aca="false">IF(OR(F19="",G19=""),"",I19-J19)</f>
        <v>1931.50684931507</v>
      </c>
    </row>
    <row r="20" customFormat="false" ht="15" hidden="false" customHeight="false" outlineLevel="0" collapsed="false">
      <c r="A20" s="5" t="n">
        <v>15</v>
      </c>
      <c r="B20" s="5" t="s">
        <v>44</v>
      </c>
      <c r="C20" s="6" t="s">
        <v>41</v>
      </c>
      <c r="D20" s="6" t="n">
        <v>365</v>
      </c>
      <c r="E20" s="7" t="n">
        <f aca="false">D20/365*15</f>
        <v>15</v>
      </c>
      <c r="F20" s="8" t="n">
        <v>600</v>
      </c>
      <c r="G20" s="8" t="n">
        <v>400</v>
      </c>
      <c r="H20" s="9" t="s">
        <v>16</v>
      </c>
      <c r="I20" s="10" t="n">
        <f aca="false">IF(F20="","",F20*E20)</f>
        <v>9000</v>
      </c>
      <c r="J20" s="10" t="n">
        <f aca="false">IF(G20="","",G20*E20)</f>
        <v>6000</v>
      </c>
      <c r="K20" s="11" t="n">
        <f aca="false">IF(OR(F20="",G20=""),"",I20-J20)</f>
        <v>3000</v>
      </c>
    </row>
    <row r="21" customFormat="false" ht="15" hidden="false" customHeight="false" outlineLevel="0" collapsed="false">
      <c r="A21" s="5" t="n">
        <v>16</v>
      </c>
      <c r="B21" s="5" t="s">
        <v>45</v>
      </c>
      <c r="C21" s="6" t="s">
        <v>46</v>
      </c>
      <c r="D21" s="6" t="n">
        <v>361</v>
      </c>
      <c r="E21" s="7" t="n">
        <f aca="false">D21/365*15</f>
        <v>14.8356164383562</v>
      </c>
      <c r="F21" s="8" t="n">
        <v>600</v>
      </c>
      <c r="G21" s="8" t="n">
        <v>400</v>
      </c>
      <c r="H21" s="9" t="s">
        <v>16</v>
      </c>
      <c r="I21" s="10" t="n">
        <f aca="false">IF(F21="","",F21*E21)</f>
        <v>8901.3698630137</v>
      </c>
      <c r="J21" s="10" t="n">
        <f aca="false">IF(G21="","",G21*E21)</f>
        <v>5934.24657534247</v>
      </c>
      <c r="K21" s="11" t="n">
        <f aca="false">IF(OR(F21="",G21=""),"",I21-J21)</f>
        <v>2967.12328767123</v>
      </c>
    </row>
    <row r="22" customFormat="false" ht="15" hidden="false" customHeight="false" outlineLevel="0" collapsed="false">
      <c r="A22" s="5" t="n">
        <v>17</v>
      </c>
      <c r="B22" s="5" t="s">
        <v>47</v>
      </c>
      <c r="C22" s="6" t="s">
        <v>48</v>
      </c>
      <c r="D22" s="6" t="n">
        <v>290</v>
      </c>
      <c r="E22" s="7" t="n">
        <f aca="false">D22/365*15</f>
        <v>11.9178082191781</v>
      </c>
      <c r="F22" s="8" t="n">
        <v>600</v>
      </c>
      <c r="G22" s="8" t="n">
        <v>400</v>
      </c>
      <c r="H22" s="9" t="s">
        <v>16</v>
      </c>
      <c r="I22" s="10" t="n">
        <f aca="false">IF(F22="","",F22*E22)</f>
        <v>7150.68493150685</v>
      </c>
      <c r="J22" s="10" t="n">
        <f aca="false">IF(G22="","",G22*E22)</f>
        <v>4767.12328767123</v>
      </c>
      <c r="K22" s="11" t="n">
        <f aca="false">IF(OR(F22="",G22=""),"",I22-J22)</f>
        <v>2383.56164383562</v>
      </c>
    </row>
    <row r="23" customFormat="false" ht="15" hidden="false" customHeight="false" outlineLevel="0" collapsed="false">
      <c r="A23" s="5" t="n">
        <v>18</v>
      </c>
      <c r="B23" s="5" t="s">
        <v>49</v>
      </c>
      <c r="C23" s="6" t="s">
        <v>35</v>
      </c>
      <c r="D23" s="6" t="n">
        <v>144</v>
      </c>
      <c r="E23" s="7" t="n">
        <f aca="false">D23/365*15</f>
        <v>5.91780821917808</v>
      </c>
      <c r="F23" s="8" t="n">
        <v>600</v>
      </c>
      <c r="G23" s="8" t="n">
        <v>400</v>
      </c>
      <c r="H23" s="9" t="s">
        <v>16</v>
      </c>
      <c r="I23" s="10" t="n">
        <f aca="false">IF(F23="","",F23*E23)</f>
        <v>3550.68493150685</v>
      </c>
      <c r="J23" s="10" t="n">
        <f aca="false">IF(G23="","",G23*E23)</f>
        <v>2367.12328767123</v>
      </c>
      <c r="K23" s="11" t="n">
        <f aca="false">IF(OR(F23="",G23=""),"",I23-J23)</f>
        <v>1183.56164383562</v>
      </c>
    </row>
    <row r="24" customFormat="false" ht="15" hidden="false" customHeight="false" outlineLevel="0" collapsed="false">
      <c r="A24" s="5" t="n">
        <v>19</v>
      </c>
      <c r="B24" s="5" t="s">
        <v>50</v>
      </c>
      <c r="C24" s="6" t="s">
        <v>51</v>
      </c>
      <c r="D24" s="6" t="n">
        <v>231</v>
      </c>
      <c r="E24" s="7" t="n">
        <f aca="false">D24/365*15</f>
        <v>9.49315068493151</v>
      </c>
      <c r="F24" s="8" t="n">
        <v>600</v>
      </c>
      <c r="G24" s="8" t="n">
        <v>500</v>
      </c>
      <c r="H24" s="9" t="s">
        <v>16</v>
      </c>
      <c r="I24" s="10" t="n">
        <f aca="false">IF(F24="","",F24*E24)</f>
        <v>5695.8904109589</v>
      </c>
      <c r="J24" s="10" t="n">
        <f aca="false">IF(G24="","",G24*E24)</f>
        <v>4746.57534246575</v>
      </c>
      <c r="K24" s="11" t="n">
        <f aca="false">IF(OR(F24="",G24=""),"",I24-J24)</f>
        <v>949.315068493151</v>
      </c>
    </row>
    <row r="25" customFormat="false" ht="15" hidden="false" customHeight="false" outlineLevel="0" collapsed="false">
      <c r="A25" s="5" t="n">
        <v>20</v>
      </c>
      <c r="B25" s="5" t="s">
        <v>52</v>
      </c>
      <c r="C25" s="6" t="s">
        <v>53</v>
      </c>
      <c r="D25" s="6" t="n">
        <v>269</v>
      </c>
      <c r="E25" s="7" t="n">
        <f aca="false">D25/365*15</f>
        <v>11.0547945205479</v>
      </c>
      <c r="F25" s="8" t="n">
        <v>833.33</v>
      </c>
      <c r="G25" s="8" t="n">
        <v>400</v>
      </c>
      <c r="H25" s="9" t="s">
        <v>16</v>
      </c>
      <c r="I25" s="10" t="n">
        <f aca="false">IF(F25="","",F25*E25)</f>
        <v>9212.29191780822</v>
      </c>
      <c r="J25" s="10" t="n">
        <f aca="false">IF(G25="","",G25*E25)</f>
        <v>4421.91780821918</v>
      </c>
      <c r="K25" s="11" t="n">
        <f aca="false">IF(OR(F25="",G25=""),"",I25-J25)</f>
        <v>4790.37410958904</v>
      </c>
    </row>
    <row r="26" customFormat="false" ht="15" hidden="false" customHeight="false" outlineLevel="0" collapsed="false">
      <c r="A26" s="5" t="n">
        <v>21</v>
      </c>
      <c r="B26" s="5" t="s">
        <v>54</v>
      </c>
      <c r="C26" s="6" t="s">
        <v>55</v>
      </c>
      <c r="D26" s="6" t="n">
        <v>365</v>
      </c>
      <c r="E26" s="7" t="n">
        <f aca="false">D26/365*15</f>
        <v>15</v>
      </c>
      <c r="F26" s="8" t="n">
        <v>733.33</v>
      </c>
      <c r="G26" s="8" t="n">
        <v>400</v>
      </c>
      <c r="H26" s="9" t="s">
        <v>16</v>
      </c>
      <c r="I26" s="10" t="n">
        <f aca="false">IF(F26="","",F26*E26)</f>
        <v>10999.95</v>
      </c>
      <c r="J26" s="10" t="n">
        <f aca="false">IF(G26="","",G26*E26)</f>
        <v>6000</v>
      </c>
      <c r="K26" s="11" t="n">
        <f aca="false">IF(OR(F26="",G26=""),"",I26-J26)</f>
        <v>4999.95</v>
      </c>
    </row>
    <row r="27" customFormat="false" ht="15" hidden="false" customHeight="false" outlineLevel="0" collapsed="false">
      <c r="A27" s="5" t="n">
        <v>22</v>
      </c>
      <c r="B27" s="5" t="s">
        <v>56</v>
      </c>
      <c r="C27" s="6" t="s">
        <v>33</v>
      </c>
      <c r="D27" s="6" t="n">
        <v>365</v>
      </c>
      <c r="E27" s="7" t="n">
        <f aca="false">D27/365*15</f>
        <v>15</v>
      </c>
      <c r="F27" s="8" t="n">
        <v>600</v>
      </c>
      <c r="G27" s="8" t="n">
        <v>400</v>
      </c>
      <c r="H27" s="9" t="s">
        <v>16</v>
      </c>
      <c r="I27" s="10" t="n">
        <f aca="false">IF(F27="","",F27*E27)</f>
        <v>9000</v>
      </c>
      <c r="J27" s="10" t="n">
        <f aca="false">IF(G27="","",G27*E27)</f>
        <v>6000</v>
      </c>
      <c r="K27" s="11" t="n">
        <f aca="false">IF(OR(F27="",G27=""),"",I27-J27)</f>
        <v>3000</v>
      </c>
    </row>
    <row r="28" customFormat="false" ht="15" hidden="false" customHeight="false" outlineLevel="0" collapsed="false">
      <c r="A28" s="5" t="n">
        <v>23</v>
      </c>
      <c r="B28" s="5" t="s">
        <v>57</v>
      </c>
      <c r="C28" s="6" t="s">
        <v>58</v>
      </c>
      <c r="D28" s="6" t="n">
        <v>252</v>
      </c>
      <c r="E28" s="7" t="n">
        <f aca="false">D28/365*15</f>
        <v>10.3561643835616</v>
      </c>
      <c r="F28" s="8" t="n">
        <v>600</v>
      </c>
      <c r="G28" s="8" t="n">
        <v>400</v>
      </c>
      <c r="H28" s="9" t="s">
        <v>16</v>
      </c>
      <c r="I28" s="10" t="n">
        <f aca="false">IF(F28="","",F28*E28)</f>
        <v>6213.69863013699</v>
      </c>
      <c r="J28" s="10" t="n">
        <f aca="false">IF(G28="","",G28*E28)</f>
        <v>4142.46575342466</v>
      </c>
      <c r="K28" s="11" t="n">
        <f aca="false">IF(OR(F28="",G28=""),"",I28-J28)</f>
        <v>2071.23287671233</v>
      </c>
    </row>
    <row r="29" customFormat="false" ht="15" hidden="false" customHeight="false" outlineLevel="0" collapsed="false">
      <c r="A29" s="5" t="n">
        <v>24</v>
      </c>
      <c r="B29" s="5" t="s">
        <v>59</v>
      </c>
      <c r="C29" s="6" t="s">
        <v>60</v>
      </c>
      <c r="D29" s="6" t="n">
        <v>365</v>
      </c>
      <c r="E29" s="7" t="n">
        <f aca="false">D29/365*15</f>
        <v>15</v>
      </c>
      <c r="F29" s="12" t="n">
        <v>600</v>
      </c>
      <c r="G29" s="12" t="n">
        <v>600</v>
      </c>
      <c r="H29" s="6" t="s">
        <v>25</v>
      </c>
      <c r="I29" s="10" t="n">
        <f aca="false">IF(F29="","",F29*E29)</f>
        <v>9000</v>
      </c>
      <c r="J29" s="10" t="n">
        <f aca="false">IF(G29="","",G29*E29)</f>
        <v>9000</v>
      </c>
      <c r="K29" s="10" t="n">
        <f aca="false">IF(OR(F29="",G29=""),"",I29-J29)</f>
        <v>0</v>
      </c>
    </row>
    <row r="30" customFormat="false" ht="15" hidden="false" customHeight="false" outlineLevel="0" collapsed="false">
      <c r="A30" s="5" t="n">
        <v>25</v>
      </c>
      <c r="B30" s="5" t="s">
        <v>61</v>
      </c>
      <c r="C30" s="6" t="s">
        <v>62</v>
      </c>
      <c r="D30" s="6" t="n">
        <v>242</v>
      </c>
      <c r="E30" s="7" t="n">
        <f aca="false">D30/365*15</f>
        <v>9.94520547945206</v>
      </c>
      <c r="F30" s="8" t="n">
        <v>600</v>
      </c>
      <c r="G30" s="8" t="n">
        <v>400</v>
      </c>
      <c r="H30" s="9" t="s">
        <v>16</v>
      </c>
      <c r="I30" s="10" t="n">
        <f aca="false">IF(F30="","",F30*E30)</f>
        <v>5967.12328767123</v>
      </c>
      <c r="J30" s="10" t="n">
        <f aca="false">IF(G30="","",G30*E30)</f>
        <v>3978.08219178082</v>
      </c>
      <c r="K30" s="11" t="n">
        <f aca="false">IF(OR(F30="",G30=""),"",I30-J30)</f>
        <v>1989.04109589041</v>
      </c>
    </row>
    <row r="31" customFormat="false" ht="15" hidden="false" customHeight="false" outlineLevel="0" collapsed="false">
      <c r="A31" s="5" t="n">
        <v>26</v>
      </c>
      <c r="B31" s="5" t="s">
        <v>63</v>
      </c>
      <c r="C31" s="6" t="s">
        <v>64</v>
      </c>
      <c r="D31" s="6" t="n">
        <v>365</v>
      </c>
      <c r="E31" s="7" t="n">
        <f aca="false">D31/365*15</f>
        <v>15</v>
      </c>
      <c r="F31" s="8" t="n">
        <v>600</v>
      </c>
      <c r="G31" s="8" t="n">
        <v>400</v>
      </c>
      <c r="H31" s="9" t="s">
        <v>16</v>
      </c>
      <c r="I31" s="10" t="n">
        <f aca="false">IF(F31="","",F31*E31)</f>
        <v>9000</v>
      </c>
      <c r="J31" s="10" t="n">
        <f aca="false">IF(G31="","",G31*E31)</f>
        <v>6000</v>
      </c>
      <c r="K31" s="11" t="n">
        <f aca="false">IF(OR(F31="",G31=""),"",I31-J31)</f>
        <v>3000</v>
      </c>
    </row>
    <row r="32" customFormat="false" ht="15" hidden="false" customHeight="false" outlineLevel="0" collapsed="false">
      <c r="A32" s="5" t="n">
        <v>27</v>
      </c>
      <c r="B32" s="5" t="s">
        <v>65</v>
      </c>
      <c r="C32" s="6" t="s">
        <v>66</v>
      </c>
      <c r="D32" s="6" t="n">
        <v>303</v>
      </c>
      <c r="E32" s="7" t="n">
        <f aca="false">D32/365*15</f>
        <v>12.4520547945206</v>
      </c>
      <c r="F32" s="8" t="n">
        <v>600</v>
      </c>
      <c r="G32" s="8" t="n">
        <v>400</v>
      </c>
      <c r="H32" s="9" t="s">
        <v>16</v>
      </c>
      <c r="I32" s="10" t="n">
        <f aca="false">IF(F32="","",F32*E32)</f>
        <v>7471.23287671233</v>
      </c>
      <c r="J32" s="10" t="n">
        <f aca="false">IF(G32="","",G32*E32)</f>
        <v>4980.82191780822</v>
      </c>
      <c r="K32" s="11" t="n">
        <f aca="false">IF(OR(F32="",G32=""),"",I32-J32)</f>
        <v>2490.41095890411</v>
      </c>
    </row>
    <row r="33" customFormat="false" ht="15" hidden="false" customHeight="false" outlineLevel="0" collapsed="false">
      <c r="A33" s="5" t="n">
        <v>28</v>
      </c>
      <c r="B33" s="5" t="s">
        <v>67</v>
      </c>
      <c r="C33" s="6" t="s">
        <v>68</v>
      </c>
      <c r="D33" s="6" t="n">
        <v>305</v>
      </c>
      <c r="E33" s="7" t="n">
        <f aca="false">D33/365*15</f>
        <v>12.5342465753425</v>
      </c>
      <c r="F33" s="8" t="n">
        <v>600</v>
      </c>
      <c r="G33" s="8" t="n">
        <v>400</v>
      </c>
      <c r="H33" s="9" t="s">
        <v>16</v>
      </c>
      <c r="I33" s="10" t="n">
        <f aca="false">IF(F33="","",F33*E33)</f>
        <v>7520.54794520548</v>
      </c>
      <c r="J33" s="10" t="n">
        <f aca="false">IF(G33="","",G33*E33)</f>
        <v>5013.69863013699</v>
      </c>
      <c r="K33" s="11" t="n">
        <f aca="false">IF(OR(F33="",G33=""),"",I33-J33)</f>
        <v>2506.84931506849</v>
      </c>
    </row>
    <row r="34" customFormat="false" ht="15" hidden="false" customHeight="false" outlineLevel="0" collapsed="false">
      <c r="A34" s="5" t="n">
        <v>29</v>
      </c>
      <c r="B34" s="5" t="s">
        <v>69</v>
      </c>
      <c r="C34" s="6" t="s">
        <v>31</v>
      </c>
      <c r="D34" s="6" t="n">
        <v>365</v>
      </c>
      <c r="E34" s="7" t="n">
        <f aca="false">D34/365*15</f>
        <v>15</v>
      </c>
      <c r="F34" s="8" t="n">
        <v>766.66</v>
      </c>
      <c r="G34" s="8" t="n">
        <v>400</v>
      </c>
      <c r="H34" s="9" t="s">
        <v>16</v>
      </c>
      <c r="I34" s="10" t="n">
        <f aca="false">IF(F34="","",F34*E34)</f>
        <v>11499.9</v>
      </c>
      <c r="J34" s="10" t="n">
        <f aca="false">IF(G34="","",G34*E34)</f>
        <v>6000</v>
      </c>
      <c r="K34" s="11" t="n">
        <f aca="false">IF(OR(F34="",G34=""),"",I34-J34)</f>
        <v>5499.9</v>
      </c>
    </row>
    <row r="35" customFormat="false" ht="15" hidden="false" customHeight="false" outlineLevel="0" collapsed="false">
      <c r="A35" s="5" t="n">
        <v>30</v>
      </c>
      <c r="B35" s="5" t="s">
        <v>70</v>
      </c>
      <c r="C35" s="6" t="s">
        <v>71</v>
      </c>
      <c r="D35" s="6" t="n">
        <v>365</v>
      </c>
      <c r="E35" s="7" t="n">
        <f aca="false">D35/365*15</f>
        <v>15</v>
      </c>
      <c r="F35" s="8" t="n">
        <v>766.66</v>
      </c>
      <c r="G35" s="8" t="n">
        <v>400</v>
      </c>
      <c r="H35" s="9" t="s">
        <v>16</v>
      </c>
      <c r="I35" s="10" t="n">
        <f aca="false">IF(F35="","",F35*E35)</f>
        <v>11499.9</v>
      </c>
      <c r="J35" s="10" t="n">
        <f aca="false">IF(G35="","",G35*E35)</f>
        <v>6000</v>
      </c>
      <c r="K35" s="11" t="n">
        <f aca="false">IF(OR(F35="",G35=""),"",I35-J35)</f>
        <v>5499.9</v>
      </c>
    </row>
    <row r="36" customFormat="false" ht="15" hidden="false" customHeight="false" outlineLevel="0" collapsed="false">
      <c r="A36" s="5" t="n">
        <v>31</v>
      </c>
      <c r="B36" s="5" t="s">
        <v>72</v>
      </c>
      <c r="C36" s="6" t="s">
        <v>73</v>
      </c>
      <c r="D36" s="6" t="n">
        <v>365</v>
      </c>
      <c r="E36" s="7" t="n">
        <f aca="false">D36/365*15</f>
        <v>15</v>
      </c>
      <c r="F36" s="8" t="n">
        <v>666.66</v>
      </c>
      <c r="G36" s="8" t="n">
        <v>400</v>
      </c>
      <c r="H36" s="9" t="s">
        <v>16</v>
      </c>
      <c r="I36" s="10" t="n">
        <f aca="false">IF(F36="","",F36*E36)</f>
        <v>9999.9</v>
      </c>
      <c r="J36" s="10" t="n">
        <f aca="false">IF(G36="","",G36*E36)</f>
        <v>6000</v>
      </c>
      <c r="K36" s="11" t="n">
        <f aca="false">IF(OR(F36="",G36=""),"",I36-J36)</f>
        <v>3999.9</v>
      </c>
    </row>
    <row r="37" customFormat="false" ht="15" hidden="false" customHeight="false" outlineLevel="0" collapsed="false">
      <c r="A37" s="5" t="n">
        <v>32</v>
      </c>
      <c r="B37" s="5" t="s">
        <v>74</v>
      </c>
      <c r="C37" s="6" t="s">
        <v>55</v>
      </c>
      <c r="D37" s="6" t="n">
        <v>365</v>
      </c>
      <c r="E37" s="7" t="n">
        <f aca="false">D37/365*15</f>
        <v>15</v>
      </c>
      <c r="F37" s="8" t="n">
        <v>600</v>
      </c>
      <c r="G37" s="8" t="n">
        <v>400</v>
      </c>
      <c r="H37" s="9" t="s">
        <v>16</v>
      </c>
      <c r="I37" s="10" t="n">
        <f aca="false">IF(F37="","",F37*E37)</f>
        <v>9000</v>
      </c>
      <c r="J37" s="10" t="n">
        <f aca="false">IF(G37="","",G37*E37)</f>
        <v>6000</v>
      </c>
      <c r="K37" s="11" t="n">
        <f aca="false">IF(OR(F37="",G37=""),"",I37-J37)</f>
        <v>3000</v>
      </c>
    </row>
    <row r="38" customFormat="false" ht="15" hidden="false" customHeight="false" outlineLevel="0" collapsed="false">
      <c r="A38" s="5" t="n">
        <v>33</v>
      </c>
      <c r="B38" s="5" t="s">
        <v>75</v>
      </c>
      <c r="C38" s="6" t="s">
        <v>76</v>
      </c>
      <c r="D38" s="6" t="n">
        <v>365</v>
      </c>
      <c r="E38" s="7" t="n">
        <f aca="false">D38/365*15</f>
        <v>15</v>
      </c>
      <c r="F38" s="12" t="n">
        <v>1333.33</v>
      </c>
      <c r="G38" s="12" t="n">
        <v>1333.33</v>
      </c>
      <c r="H38" s="6" t="s">
        <v>25</v>
      </c>
      <c r="I38" s="10" t="n">
        <f aca="false">IF(F38="","",F38*E38)</f>
        <v>19999.95</v>
      </c>
      <c r="J38" s="10" t="n">
        <f aca="false">IF(G38="","",G38*E38)</f>
        <v>19999.95</v>
      </c>
      <c r="K38" s="10" t="n">
        <f aca="false">IF(OR(F38="",G38=""),"",I38-J38)</f>
        <v>0</v>
      </c>
    </row>
    <row r="39" customFormat="false" ht="15" hidden="false" customHeight="false" outlineLevel="0" collapsed="false">
      <c r="A39" s="5" t="n">
        <v>34</v>
      </c>
      <c r="B39" s="5" t="s">
        <v>77</v>
      </c>
      <c r="C39" s="6" t="s">
        <v>78</v>
      </c>
      <c r="D39" s="6" t="n">
        <v>200</v>
      </c>
      <c r="E39" s="7" t="n">
        <f aca="false">D39/365*15</f>
        <v>8.21917808219178</v>
      </c>
      <c r="F39" s="12" t="n">
        <v>833.33</v>
      </c>
      <c r="G39" s="13"/>
      <c r="H39" s="14" t="s">
        <v>79</v>
      </c>
      <c r="I39" s="10" t="n">
        <f aca="false">IF(F39="","",F39*E39)</f>
        <v>6849.28767123288</v>
      </c>
      <c r="J39" s="10" t="str">
        <f aca="false">IF(G39="","",G39*E39)</f>
        <v/>
      </c>
      <c r="K39" s="10" t="str">
        <f aca="false">IF(OR(F39="",G39=""),"",I39-J39)</f>
        <v/>
      </c>
    </row>
    <row r="40" customFormat="false" ht="15" hidden="false" customHeight="false" outlineLevel="0" collapsed="false">
      <c r="A40" s="5" t="n">
        <v>35</v>
      </c>
      <c r="B40" s="5" t="s">
        <v>80</v>
      </c>
      <c r="C40" s="6" t="s">
        <v>81</v>
      </c>
      <c r="D40" s="6" t="n">
        <v>158</v>
      </c>
      <c r="E40" s="7" t="n">
        <f aca="false">D40/365*15</f>
        <v>6.49315068493151</v>
      </c>
      <c r="F40" s="8" t="n">
        <v>600</v>
      </c>
      <c r="G40" s="8" t="n">
        <v>400</v>
      </c>
      <c r="H40" s="9" t="s">
        <v>16</v>
      </c>
      <c r="I40" s="10" t="n">
        <f aca="false">IF(F40="","",F40*E40)</f>
        <v>3895.8904109589</v>
      </c>
      <c r="J40" s="10" t="n">
        <f aca="false">IF(G40="","",G40*E40)</f>
        <v>2597.2602739726</v>
      </c>
      <c r="K40" s="11" t="n">
        <f aca="false">IF(OR(F40="",G40=""),"",I40-J40)</f>
        <v>1298.6301369863</v>
      </c>
    </row>
    <row r="41" customFormat="false" ht="15" hidden="false" customHeight="false" outlineLevel="0" collapsed="false">
      <c r="A41" s="5" t="n">
        <v>36</v>
      </c>
      <c r="B41" s="5" t="s">
        <v>82</v>
      </c>
      <c r="C41" s="6" t="s">
        <v>51</v>
      </c>
      <c r="D41" s="6" t="n">
        <v>231</v>
      </c>
      <c r="E41" s="7" t="n">
        <f aca="false">D41/365*15</f>
        <v>9.49315068493151</v>
      </c>
      <c r="F41" s="8" t="n">
        <v>600</v>
      </c>
      <c r="G41" s="8" t="n">
        <v>400</v>
      </c>
      <c r="H41" s="9" t="s">
        <v>16</v>
      </c>
      <c r="I41" s="10" t="n">
        <f aca="false">IF(F41="","",F41*E41)</f>
        <v>5695.8904109589</v>
      </c>
      <c r="J41" s="10" t="n">
        <f aca="false">IF(G41="","",G41*E41)</f>
        <v>3797.2602739726</v>
      </c>
      <c r="K41" s="11" t="n">
        <f aca="false">IF(OR(F41="",G41=""),"",I41-J41)</f>
        <v>1898.6301369863</v>
      </c>
    </row>
    <row r="42" customFormat="false" ht="15" hidden="false" customHeight="false" outlineLevel="0" collapsed="false">
      <c r="A42" s="5" t="n">
        <v>37</v>
      </c>
      <c r="B42" s="5" t="s">
        <v>83</v>
      </c>
      <c r="C42" s="6" t="s">
        <v>84</v>
      </c>
      <c r="D42" s="6" t="n">
        <v>365</v>
      </c>
      <c r="E42" s="7" t="n">
        <f aca="false">D42/365*15</f>
        <v>15</v>
      </c>
      <c r="F42" s="12"/>
      <c r="G42" s="13"/>
      <c r="H42" s="14" t="s">
        <v>79</v>
      </c>
      <c r="I42" s="10" t="str">
        <f aca="false">IF(F42="","",F42*E42)</f>
        <v/>
      </c>
      <c r="J42" s="10" t="str">
        <f aca="false">IF(G42="","",G42*E42)</f>
        <v/>
      </c>
      <c r="K42" s="10" t="str">
        <f aca="false">IF(OR(F42="",G42=""),"",I42-J42)</f>
        <v/>
      </c>
    </row>
    <row r="43" customFormat="false" ht="15" hidden="false" customHeight="false" outlineLevel="0" collapsed="false">
      <c r="A43" s="5" t="n">
        <v>38</v>
      </c>
      <c r="B43" s="5" t="s">
        <v>85</v>
      </c>
      <c r="C43" s="6" t="s">
        <v>86</v>
      </c>
      <c r="D43" s="6" t="n">
        <v>365</v>
      </c>
      <c r="E43" s="7" t="n">
        <f aca="false">D43/365*15</f>
        <v>15</v>
      </c>
      <c r="F43" s="8" t="n">
        <v>833.33</v>
      </c>
      <c r="G43" s="8" t="n">
        <v>400</v>
      </c>
      <c r="H43" s="9" t="s">
        <v>16</v>
      </c>
      <c r="I43" s="10" t="n">
        <f aca="false">IF(F43="","",F43*E43)</f>
        <v>12499.95</v>
      </c>
      <c r="J43" s="10" t="n">
        <f aca="false">IF(G43="","",G43*E43)</f>
        <v>6000</v>
      </c>
      <c r="K43" s="11" t="n">
        <f aca="false">IF(OR(F43="",G43=""),"",I43-J43)</f>
        <v>6499.95</v>
      </c>
    </row>
    <row r="44" customFormat="false" ht="15" hidden="false" customHeight="false" outlineLevel="0" collapsed="false">
      <c r="A44" s="5" t="n">
        <v>39</v>
      </c>
      <c r="B44" s="5" t="s">
        <v>87</v>
      </c>
      <c r="C44" s="6" t="s">
        <v>88</v>
      </c>
      <c r="D44" s="6" t="n">
        <v>365</v>
      </c>
      <c r="E44" s="7" t="n">
        <f aca="false">D44/365*15</f>
        <v>15</v>
      </c>
      <c r="F44" s="8" t="n">
        <v>600</v>
      </c>
      <c r="G44" s="8" t="n">
        <v>400</v>
      </c>
      <c r="H44" s="9" t="s">
        <v>16</v>
      </c>
      <c r="I44" s="10" t="n">
        <f aca="false">IF(F44="","",F44*E44)</f>
        <v>9000</v>
      </c>
      <c r="J44" s="10" t="n">
        <f aca="false">IF(G44="","",G44*E44)</f>
        <v>6000</v>
      </c>
      <c r="K44" s="11" t="n">
        <f aca="false">IF(OR(F44="",G44=""),"",I44-J44)</f>
        <v>3000</v>
      </c>
    </row>
    <row r="45" customFormat="false" ht="15" hidden="false" customHeight="false" outlineLevel="0" collapsed="false">
      <c r="A45" s="5" t="n">
        <v>40</v>
      </c>
      <c r="B45" s="5" t="s">
        <v>89</v>
      </c>
      <c r="C45" s="6" t="s">
        <v>90</v>
      </c>
      <c r="D45" s="6" t="n">
        <v>365</v>
      </c>
      <c r="E45" s="7" t="n">
        <f aca="false">D45/365*15</f>
        <v>15</v>
      </c>
      <c r="F45" s="8" t="n">
        <v>600</v>
      </c>
      <c r="G45" s="8" t="n">
        <v>400</v>
      </c>
      <c r="H45" s="9" t="s">
        <v>16</v>
      </c>
      <c r="I45" s="10" t="n">
        <f aca="false">IF(F45="","",F45*E45)</f>
        <v>9000</v>
      </c>
      <c r="J45" s="10" t="n">
        <f aca="false">IF(G45="","",G45*E45)</f>
        <v>6000</v>
      </c>
      <c r="K45" s="11" t="n">
        <f aca="false">IF(OR(F45="",G45=""),"",I45-J45)</f>
        <v>3000</v>
      </c>
    </row>
    <row r="46" customFormat="false" ht="15" hidden="false" customHeight="false" outlineLevel="0" collapsed="false">
      <c r="A46" s="15"/>
      <c r="B46" s="16" t="s">
        <v>91</v>
      </c>
      <c r="C46" s="15"/>
      <c r="D46" s="15"/>
      <c r="E46" s="15"/>
      <c r="F46" s="15"/>
      <c r="G46" s="15"/>
      <c r="H46" s="15"/>
      <c r="I46" s="17" t="n">
        <f aca="false">SUM(I6:I45)</f>
        <v>325251.365753425</v>
      </c>
      <c r="J46" s="17" t="n">
        <f aca="false">SUM(J6:J45)</f>
        <v>218332.826712329</v>
      </c>
      <c r="K46" s="17" t="n">
        <f aca="false">SUM(K6:K45)</f>
        <v>100069.251369863</v>
      </c>
    </row>
    <row r="48" customFormat="false" ht="15" hidden="false" customHeight="false" outlineLevel="0" collapsed="false">
      <c r="B48" s="18" t="s">
        <v>92</v>
      </c>
    </row>
    <row r="49" customFormat="false" ht="15" hidden="false" customHeight="false" outlineLevel="0" collapsed="false">
      <c r="B49" s="19" t="s">
        <v>93</v>
      </c>
    </row>
    <row r="50" customFormat="false" ht="15" hidden="false" customHeight="false" outlineLevel="0" collapsed="false">
      <c r="B50" s="19" t="s">
        <v>94</v>
      </c>
    </row>
    <row r="51" customFormat="false" ht="15" hidden="false" customHeight="false" outlineLevel="0" collapsed="false">
      <c r="B51" s="19" t="s">
        <v>95</v>
      </c>
    </row>
    <row r="52" customFormat="false" ht="15" hidden="false" customHeight="false" outlineLevel="0" collapsed="false">
      <c r="B52" s="19" t="s">
        <v>96</v>
      </c>
    </row>
    <row r="53" customFormat="false" ht="15" hidden="false" customHeight="false" outlineLevel="0" collapsed="false">
      <c r="B53" s="19" t="s">
        <v>97</v>
      </c>
    </row>
    <row r="54" customFormat="false" ht="15" hidden="false" customHeight="false" outlineLevel="0" collapsed="false">
      <c r="B54" s="19" t="s">
        <v>98</v>
      </c>
    </row>
    <row r="55" customFormat="false" ht="15" hidden="false" customHeight="false" outlineLevel="0" collapsed="false">
      <c r="B55" s="19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2026-08-13T15:44:28Z</dcterms:created>
  <dc:creator>openpyxl</dc:creator>
  <dc:description/>
  <dc:language>en-US</dc:language>
  <cp:lastModifiedBy/>
  <dcterms:modified xsi:type="dcterms:W3CDTF">2026-08-13T15:44:28Z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